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Model" sheetId="1" state="visible" r:id="rId1"/>
    <sheet xmlns:r="http://schemas.openxmlformats.org/officeDocument/2006/relationships" name="Approved_Stocks_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9">
    <font>
      <name val="Calibri"/>
      <family val="2"/>
      <color theme="1"/>
      <sz val="11"/>
      <scheme val="minor"/>
    </font>
    <font>
      <name val="Calibri"/>
      <b val="1"/>
      <color rgb="000B3954"/>
      <sz val="16"/>
    </font>
    <font>
      <name val="Calibri"/>
      <i val="1"/>
      <color rgb="004B5563"/>
      <sz val="11"/>
    </font>
    <font>
      <name val="Calibri"/>
      <b val="1"/>
      <color rgb="00087E8B"/>
      <sz val="12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color rgb="006B7280"/>
      <sz val="9"/>
    </font>
    <font>
      <name val="Calibri"/>
      <b val="1"/>
      <color rgb="000B3954"/>
      <sz val="10"/>
    </font>
    <font>
      <name val="Calibri"/>
      <b val="1"/>
      <color rgb="000B3954"/>
      <sz val="13"/>
    </font>
    <font>
      <name val="Calibri"/>
      <color rgb="004B5563"/>
      <sz val="9"/>
    </font>
    <font>
      <name val="Calibri"/>
      <b val="1"/>
      <color rgb="00087E8B"/>
      <sz val="10"/>
    </font>
    <font>
      <name val="Calibri"/>
      <b val="1"/>
      <color rgb="00065F46"/>
      <sz val="11"/>
    </font>
    <font>
      <name val="Calibri"/>
      <b val="1"/>
      <color rgb="00065F46"/>
      <sz val="9"/>
    </font>
    <font>
      <name val="Calibri"/>
      <b val="1"/>
      <color rgb="00047857"/>
      <sz val="10"/>
    </font>
    <font>
      <name val="Calibri"/>
      <b val="1"/>
      <color rgb="00065F46"/>
      <sz val="10"/>
    </font>
    <font>
      <name val="Calibri"/>
      <sz val="9"/>
    </font>
    <font>
      <name val="Calibri"/>
      <b val="1"/>
      <color rgb="001E3A8A"/>
      <sz val="9"/>
    </font>
    <font>
      <name val="Calibri"/>
      <b val="1"/>
      <color rgb="001E40AF"/>
      <sz val="9"/>
    </font>
  </fonts>
  <fills count="7">
    <fill>
      <patternFill/>
    </fill>
    <fill>
      <patternFill patternType="gray125"/>
    </fill>
    <fill>
      <patternFill patternType="solid">
        <fgColor rgb="000B3954"/>
        <bgColor rgb="000B3954"/>
      </patternFill>
    </fill>
    <fill>
      <patternFill patternType="solid">
        <fgColor rgb="00FEF3C7"/>
        <bgColor rgb="00FEF3C7"/>
      </patternFill>
    </fill>
    <fill>
      <patternFill patternType="solid">
        <fgColor rgb="00087E8B"/>
        <bgColor rgb="00087E8B"/>
      </patternFill>
    </fill>
    <fill>
      <patternFill patternType="solid">
        <fgColor rgb="00E6F4EA"/>
        <bgColor rgb="00E6F4EA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0B395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1" pivotButton="0" quotePrefix="0" xfId="0"/>
    <xf numFmtId="164" fontId="6" fillId="3" borderId="1" applyAlignment="1" pivotButton="0" quotePrefix="0" xfId="0">
      <alignment horizontal="right"/>
    </xf>
    <xf numFmtId="0" fontId="7" fillId="0" borderId="1" pivotButton="0" quotePrefix="0" xfId="0"/>
    <xf numFmtId="0" fontId="6" fillId="0" borderId="1" pivotButton="0" quotePrefix="0" xfId="0"/>
    <xf numFmtId="165" fontId="8" fillId="3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  <xf numFmtId="1" fontId="6" fillId="3" borderId="1" applyAlignment="1" pivotButton="0" quotePrefix="0" xfId="0">
      <alignment horizontal="right"/>
    </xf>
    <xf numFmtId="0" fontId="9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center"/>
    </xf>
    <xf numFmtId="0" fontId="10" fillId="0" borderId="1" pivotButton="0" quotePrefix="0" xfId="0"/>
    <xf numFmtId="0" fontId="8" fillId="0" borderId="2" applyAlignment="1" pivotButton="0" quotePrefix="0" xfId="0">
      <alignment horizontal="center"/>
    </xf>
    <xf numFmtId="0" fontId="0" fillId="0" borderId="2" pivotButton="0" quotePrefix="0" xfId="0"/>
    <xf numFmtId="165" fontId="6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0" fontId="12" fillId="5" borderId="2" applyAlignment="1" pivotButton="0" quotePrefix="0" xfId="0">
      <alignment horizontal="center"/>
    </xf>
    <xf numFmtId="0" fontId="13" fillId="0" borderId="2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64" fontId="14" fillId="0" borderId="1" applyAlignment="1" pivotButton="0" quotePrefix="0" xfId="0">
      <alignment horizontal="right"/>
    </xf>
    <xf numFmtId="164" fontId="12" fillId="5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1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0" fontId="16" fillId="0" borderId="1" pivotButton="0" quotePrefix="0" xfId="0"/>
    <xf numFmtId="0" fontId="17" fillId="0" borderId="1" pivotButton="0" quotePrefix="0" xfId="0"/>
    <xf numFmtId="0" fontId="13" fillId="5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18" customWidth="1" min="4" max="4"/>
    <col width="16" customWidth="1" min="5" max="5"/>
    <col width="22" customWidth="1" min="6" max="6"/>
    <col width="18" customWidth="1" min="7" max="7"/>
    <col width="18" customWidth="1" min="8" max="8"/>
    <col width="18" customWidth="1" min="9" max="9"/>
    <col width="22" customWidth="1" min="10" max="10"/>
    <col width="36" customWidth="1" min="11" max="11"/>
  </cols>
  <sheetData>
    <row r="1">
      <c r="A1" s="1" t="inlineStr">
        <is>
          <t>WHARTON GLOBAL YOUTH INVESTMENT COMPETITION: DYNAMIC PORTFOLIO MODEL</t>
        </is>
      </c>
    </row>
    <row r="2">
      <c r="A2" s="2" t="inlineStr">
        <is>
          <t>Client: Laura Gao | Creative Residency in Taiwan | Automated Formula-Driven Compounding Engine</t>
        </is>
      </c>
    </row>
    <row r="3"/>
    <row r="4">
      <c r="A4" s="3" t="inlineStr">
        <is>
          <t>MODEL ASSUMPTIONS &amp; PARAMETERS</t>
        </is>
      </c>
      <c r="E4" s="3" t="inlineStr">
        <is>
          <t>MARKET CAP RETURN BENCHMARKS</t>
        </is>
      </c>
    </row>
    <row r="5">
      <c r="A5" s="4" t="inlineStr">
        <is>
          <t>Parameter Name</t>
        </is>
      </c>
      <c r="B5" s="4" t="inlineStr">
        <is>
          <t>Value</t>
        </is>
      </c>
      <c r="C5" s="4" t="inlineStr">
        <is>
          <t>Notes / Logic</t>
        </is>
      </c>
      <c r="E5" s="5" t="inlineStr">
        <is>
          <t>Market Cap Category</t>
        </is>
      </c>
      <c r="F5" s="5" t="inlineStr">
        <is>
          <t>Annual Return Assumption</t>
        </is>
      </c>
      <c r="G5" s="5" t="inlineStr">
        <is>
          <t>Description / Risk Profile</t>
        </is>
      </c>
    </row>
    <row r="6">
      <c r="A6" s="6" t="inlineStr">
        <is>
          <t>Initial Investment (2027 / Year 1)</t>
        </is>
      </c>
      <c r="B6" s="7" t="n">
        <v>300000</v>
      </c>
      <c r="C6" s="8" t="inlineStr">
        <is>
          <t>Total Year 1 cash deployment</t>
        </is>
      </c>
      <c r="E6" s="9" t="inlineStr">
        <is>
          <t>Large Cap</t>
        </is>
      </c>
      <c r="F6" s="10" t="n">
        <v>0.12</v>
      </c>
      <c r="G6" s="8" t="inlineStr">
        <is>
          <t>Established global leaders (&gt; $10B cap); defensive compounding</t>
        </is>
      </c>
    </row>
    <row r="7">
      <c r="A7" s="6" t="inlineStr">
        <is>
          <t>Follow-on Contribution (2028 / Year 2)</t>
        </is>
      </c>
      <c r="B7" s="7" t="n">
        <v>150000</v>
      </c>
      <c r="C7" s="8" t="inlineStr">
        <is>
          <t>Total Year 2 cash deployment</t>
        </is>
      </c>
      <c r="E7" s="9" t="inlineStr">
        <is>
          <t>Mid Cap</t>
        </is>
      </c>
      <c r="F7" s="10" t="n">
        <v>0.15</v>
      </c>
      <c r="G7" s="8" t="inlineStr">
        <is>
          <t>High-growth secular compounders ($2B - $10B cap); margin expansion</t>
        </is>
      </c>
    </row>
    <row r="8">
      <c r="A8" s="6" t="inlineStr">
        <is>
          <t>Total Principal Capital Invested</t>
        </is>
      </c>
      <c r="B8" s="11">
        <f>B5+B6</f>
        <v/>
      </c>
      <c r="C8" s="8" t="inlineStr">
        <is>
          <t>Formula: Sum of contributions</t>
        </is>
      </c>
      <c r="E8" s="9" t="inlineStr">
        <is>
          <t>Small Cap</t>
        </is>
      </c>
      <c r="F8" s="10" t="n">
        <v>0.18</v>
      </c>
      <c r="G8" s="8" t="inlineStr">
        <is>
          <t>High-beta emerging leaders (&lt; $2B cap); elevated capital growth</t>
        </is>
      </c>
    </row>
    <row r="9">
      <c r="A9" s="6" t="inlineStr">
        <is>
          <t>Mandatory Operating Reserve in 2033</t>
        </is>
      </c>
      <c r="B9" s="7" t="n">
        <v>420000</v>
      </c>
      <c r="C9" s="8" t="inlineStr">
        <is>
          <t>Guarantees 10 x $50k annual payments</t>
        </is>
      </c>
      <c r="E9" s="9" t="inlineStr">
        <is>
          <t>Cash / Liquidity Buffer</t>
        </is>
      </c>
      <c r="F9" s="10" t="n">
        <v>0.0425</v>
      </c>
      <c r="G9" s="8" t="inlineStr">
        <is>
          <t>Short-term US Treasury bills / money market dry powder</t>
        </is>
      </c>
    </row>
    <row r="10">
      <c r="A10" s="6" t="inlineStr">
        <is>
          <t>Operating Payment Annuity (2033-2042)</t>
        </is>
      </c>
      <c r="B10" s="7" t="n">
        <v>50000</v>
      </c>
      <c r="C10" s="8" t="inlineStr">
        <is>
          <t>Fixed annual payment to residency</t>
        </is>
      </c>
    </row>
    <row r="11">
      <c r="A11" s="6" t="inlineStr">
        <is>
          <t>Target Residency Launch Year</t>
        </is>
      </c>
      <c r="B11" s="12" t="n">
        <v>2033</v>
      </c>
      <c r="C11" s="8" t="inlineStr">
        <is>
          <t>Year 7 of competition timeline</t>
        </is>
      </c>
    </row>
    <row r="12"/>
    <row r="13">
      <c r="A13" s="13" t="inlineStr">
        <is>
          <t>RECOMMENDED ASSET ALLOCATION &amp; RETURN ENGINE</t>
        </is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5" t="inlineStr">
        <is>
          <t>KO</t>
        </is>
      </c>
      <c r="B15" s="6" t="inlineStr">
        <is>
          <t>The Coca-Cola Co</t>
        </is>
      </c>
      <c r="C15" s="6" t="inlineStr">
        <is>
          <t>Consumer Staples</t>
        </is>
      </c>
      <c r="D15" s="16" t="inlineStr">
        <is>
          <t>Large Cap</t>
        </is>
      </c>
      <c r="E15" s="17" t="n">
        <v>0.25</v>
      </c>
      <c r="F15" s="18">
        <f>VLOOKUP(D15, $E$6:$F$9, 2, FALSE)</f>
        <v/>
      </c>
      <c r="G15" s="19">
        <f>E15 * $B$6</f>
        <v/>
      </c>
      <c r="H15" s="19">
        <f>E15 * $B$7</f>
        <v/>
      </c>
      <c r="I15" s="20">
        <f>G15 + H15</f>
        <v/>
      </c>
      <c r="J15" s="21">
        <f>E15 * F15</f>
        <v/>
      </c>
      <c r="K15" s="22" t="inlineStr">
        <is>
          <t>Recession-proof cash flow &amp; 62-year dividend growth</t>
        </is>
      </c>
    </row>
    <row r="16">
      <c r="A16" s="15" t="inlineStr">
        <is>
          <t>CL</t>
        </is>
      </c>
      <c r="B16" s="6" t="inlineStr">
        <is>
          <t>Colgate-Palmolive</t>
        </is>
      </c>
      <c r="C16" s="6" t="inlineStr">
        <is>
          <t>Consumer Staples</t>
        </is>
      </c>
      <c r="D16" s="16" t="inlineStr">
        <is>
          <t>Large Cap</t>
        </is>
      </c>
      <c r="E16" s="17" t="n">
        <v>0.25</v>
      </c>
      <c r="F16" s="18">
        <f>VLOOKUP(D16, $E$6:$F$9, 2, FALSE)</f>
        <v/>
      </c>
      <c r="G16" s="19">
        <f>E16 * $B$6</f>
        <v/>
      </c>
      <c r="H16" s="19">
        <f>E16 * $B$7</f>
        <v/>
      </c>
      <c r="I16" s="20">
        <f>G16 + H16</f>
        <v/>
      </c>
      <c r="J16" s="21">
        <f>E16 * F16</f>
        <v/>
      </c>
      <c r="K16" s="22" t="inlineStr">
        <is>
          <t>61.8% Golden Pocket ($85.32); ultra-low beta (~0.50)</t>
        </is>
      </c>
    </row>
    <row r="17">
      <c r="A17" s="15" t="inlineStr">
        <is>
          <t>V</t>
        </is>
      </c>
      <c r="B17" s="6" t="inlineStr">
        <is>
          <t>Visa Inc</t>
        </is>
      </c>
      <c r="C17" s="6" t="inlineStr">
        <is>
          <t>Financials / Payments</t>
        </is>
      </c>
      <c r="D17" s="16" t="inlineStr">
        <is>
          <t>Large Cap</t>
        </is>
      </c>
      <c r="E17" s="17" t="n">
        <v>0.15</v>
      </c>
      <c r="F17" s="18">
        <f>VLOOKUP(D17, $E$6:$F$9, 2, FALSE)</f>
        <v/>
      </c>
      <c r="G17" s="19">
        <f>E17 * $B$6</f>
        <v/>
      </c>
      <c r="H17" s="19">
        <f>E17 * $B$7</f>
        <v/>
      </c>
      <c r="I17" s="20">
        <f>G17 + H17</f>
        <v/>
      </c>
      <c r="J17" s="21">
        <f>E17 * F17</f>
        <v/>
      </c>
      <c r="K17" s="22" t="inlineStr">
        <is>
          <t>Secular electronic payments duopoly; &gt;50% operating margins</t>
        </is>
      </c>
    </row>
    <row r="18">
      <c r="A18" s="15" t="inlineStr">
        <is>
          <t>UNH</t>
        </is>
      </c>
      <c r="B18" s="6" t="inlineStr">
        <is>
          <t>UnitedHealth Group</t>
        </is>
      </c>
      <c r="C18" s="6" t="inlineStr">
        <is>
          <t>Healthcare</t>
        </is>
      </c>
      <c r="D18" s="16" t="inlineStr">
        <is>
          <t>Large Cap</t>
        </is>
      </c>
      <c r="E18" s="17" t="n">
        <v>0.1</v>
      </c>
      <c r="F18" s="18">
        <f>VLOOKUP(D18, $E$6:$F$9, 2, FALSE)</f>
        <v/>
      </c>
      <c r="G18" s="19">
        <f>E18 * $B$6</f>
        <v/>
      </c>
      <c r="H18" s="19">
        <f>E18 * $B$7</f>
        <v/>
      </c>
      <c r="I18" s="20">
        <f>G18 + H18</f>
        <v/>
      </c>
      <c r="J18" s="21">
        <f>E18 * F18</f>
        <v/>
      </c>
      <c r="K18" s="22" t="inlineStr">
        <is>
          <t>Healthcare compounding; Optum high-margin cash engine</t>
        </is>
      </c>
    </row>
    <row r="19">
      <c r="A19" s="15" t="inlineStr">
        <is>
          <t>HD</t>
        </is>
      </c>
      <c r="B19" s="6" t="inlineStr">
        <is>
          <t>Home Depot Inc</t>
        </is>
      </c>
      <c r="C19" s="6" t="inlineStr">
        <is>
          <t>Consumer Discretionary</t>
        </is>
      </c>
      <c r="D19" s="16" t="inlineStr">
        <is>
          <t>Large Cap</t>
        </is>
      </c>
      <c r="E19" s="17" t="n">
        <v>0.1</v>
      </c>
      <c r="F19" s="18">
        <f>VLOOKUP(D19, $E$6:$F$9, 2, FALSE)</f>
        <v/>
      </c>
      <c r="G19" s="19">
        <f>E19 * $B$6</f>
        <v/>
      </c>
      <c r="H19" s="19">
        <f>E19 * $B$7</f>
        <v/>
      </c>
      <c r="I19" s="20">
        <f>G19 + H19</f>
        <v/>
      </c>
      <c r="J19" s="21">
        <f>E19 * F19</f>
        <v/>
      </c>
      <c r="K19" s="22" t="inlineStr">
        <is>
          <t>High ROIC (&gt;35%) consumer home improvement monopoly</t>
        </is>
      </c>
    </row>
    <row r="20">
      <c r="A20" s="15" t="inlineStr">
        <is>
          <t>RKT</t>
        </is>
      </c>
      <c r="B20" s="6" t="inlineStr">
        <is>
          <t>Reckitt Benckiser</t>
        </is>
      </c>
      <c r="C20" s="6" t="inlineStr">
        <is>
          <t>Consumer Staples</t>
        </is>
      </c>
      <c r="D20" s="16" t="inlineStr">
        <is>
          <t>Large Cap</t>
        </is>
      </c>
      <c r="E20" s="17" t="n">
        <v>0.1</v>
      </c>
      <c r="F20" s="18">
        <f>VLOOKUP(D20, $E$6:$F$9, 2, FALSE)</f>
        <v/>
      </c>
      <c r="G20" s="19">
        <f>E20 * $B$6</f>
        <v/>
      </c>
      <c r="H20" s="19">
        <f>E20 * $B$7</f>
        <v/>
      </c>
      <c r="I20" s="20">
        <f>G20 + H20</f>
        <v/>
      </c>
      <c r="J20" s="21">
        <f>E20 * F20</f>
        <v/>
      </c>
      <c r="K20" s="22" t="inlineStr">
        <is>
          <t>4.2% dividend yield + litigation recovery turnaround alpha</t>
        </is>
      </c>
    </row>
    <row r="21">
      <c r="A21" s="15" t="inlineStr">
        <is>
          <t>CASH</t>
        </is>
      </c>
      <c r="B21" s="6" t="inlineStr">
        <is>
          <t>Short-Term Cash Buffer</t>
        </is>
      </c>
      <c r="C21" s="6" t="inlineStr">
        <is>
          <t>Cash &amp; Treasuries</t>
        </is>
      </c>
      <c r="D21" s="16" t="inlineStr">
        <is>
          <t>Cash / Liquidity Buffer</t>
        </is>
      </c>
      <c r="E21" s="17" t="n">
        <v>0.05</v>
      </c>
      <c r="F21" s="18">
        <f>VLOOKUP(D21, $E$6:$F$9, 2, FALSE)</f>
        <v/>
      </c>
      <c r="G21" s="19">
        <f>E21 * $B$6</f>
        <v/>
      </c>
      <c r="H21" s="19">
        <f>E21 * $B$7</f>
        <v/>
      </c>
      <c r="I21" s="20">
        <f>G21 + H21</f>
        <v/>
      </c>
      <c r="J21" s="21">
        <f>E21 * F21</f>
        <v/>
      </c>
      <c r="K21" s="22" t="inlineStr">
        <is>
          <t>Dry powder for opportunistic limit orders &amp; rebalancing</t>
        </is>
      </c>
    </row>
    <row r="22">
      <c r="A22" s="23" t="inlineStr">
        <is>
          <t>TOTAL</t>
        </is>
      </c>
      <c r="B22" s="24" t="inlineStr"/>
      <c r="C22" s="24" t="inlineStr"/>
      <c r="D22" s="24" t="inlineStr"/>
      <c r="E22" s="25">
        <f>SUM(E15:E21)</f>
        <v/>
      </c>
      <c r="F22" s="26" t="inlineStr">
        <is>
          <t>BLENDED CAGR:</t>
        </is>
      </c>
      <c r="G22" s="27">
        <f>SUM(G15:G21)</f>
        <v/>
      </c>
      <c r="H22" s="27">
        <f>SUM(H15:H21)</f>
        <v/>
      </c>
      <c r="I22" s="28">
        <f>SUM(I15:I21)</f>
        <v/>
      </c>
      <c r="J22" s="29">
        <f>SUM(J15:J21)</f>
        <v/>
      </c>
      <c r="K22" s="30">
        <f>IF(ROUND(E22,2)=1, '100% Balanced', 'ALERT: Weight must equal 100%')</f>
        <v/>
      </c>
    </row>
    <row r="23"/>
    <row r="24"/>
    <row r="25">
      <c r="A25" s="13" t="inlineStr">
        <is>
          <t>YEAR-BY-YEAR FINANCIAL PROJECTION MODEL (2026–2033)</t>
        </is>
      </c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</row>
    <row r="27">
      <c r="A27" s="15" t="inlineStr">
        <is>
          <t>Year 0</t>
        </is>
      </c>
      <c r="B27" s="32" t="n">
        <v>2026</v>
      </c>
      <c r="C27" s="19" t="n">
        <v>0</v>
      </c>
      <c r="D27" s="19">
        <f>0</f>
        <v/>
      </c>
      <c r="E27" s="21">
        <f>$J$22</f>
        <v/>
      </c>
      <c r="F27" s="33">
        <f>(C27 + D27) * E27</f>
        <v/>
      </c>
      <c r="G27" s="11">
        <f>C27 + D27 + F27</f>
        <v/>
      </c>
      <c r="H27" s="22" t="inlineStr">
        <is>
          <t>Baseline year; set up target entry limit orders</t>
        </is>
      </c>
    </row>
    <row r="28">
      <c r="A28" s="15" t="inlineStr">
        <is>
          <t>Year 1</t>
        </is>
      </c>
      <c r="B28" s="32" t="n">
        <v>2027</v>
      </c>
      <c r="C28" s="19">
        <f>G27</f>
        <v/>
      </c>
      <c r="D28" s="19">
        <f>$B$6</f>
        <v/>
      </c>
      <c r="E28" s="21">
        <f>$J$22</f>
        <v/>
      </c>
      <c r="F28" s="33">
        <f>(C28 + D28) * E28</f>
        <v/>
      </c>
      <c r="G28" s="11">
        <f>C28 + D28 + F28</f>
        <v/>
      </c>
      <c r="H28" s="22" t="inlineStr">
        <is>
          <t>Deploy Tranche 1 across KO, CL, V, UNH, HD, RKT</t>
        </is>
      </c>
    </row>
    <row r="29">
      <c r="A29" s="15" t="inlineStr">
        <is>
          <t>Year 2</t>
        </is>
      </c>
      <c r="B29" s="32" t="n">
        <v>2028</v>
      </c>
      <c r="C29" s="19">
        <f>G28</f>
        <v/>
      </c>
      <c r="D29" s="19">
        <f>$B$7</f>
        <v/>
      </c>
      <c r="E29" s="21">
        <f>$J$22</f>
        <v/>
      </c>
      <c r="F29" s="33">
        <f>(C29 + D29) * E29</f>
        <v/>
      </c>
      <c r="G29" s="11">
        <f>C29 + D29 + F29</f>
        <v/>
      </c>
      <c r="H29" s="22" t="inlineStr">
        <is>
          <t>Deploy Tranche 2; full $450k capital actively compounding</t>
        </is>
      </c>
    </row>
    <row r="30">
      <c r="A30" s="15" t="inlineStr">
        <is>
          <t>Year 3</t>
        </is>
      </c>
      <c r="B30" s="32" t="n">
        <v>2029</v>
      </c>
      <c r="C30" s="19">
        <f>G29</f>
        <v/>
      </c>
      <c r="D30" s="19">
        <f>0</f>
        <v/>
      </c>
      <c r="E30" s="21">
        <f>$J$22</f>
        <v/>
      </c>
      <c r="F30" s="33">
        <f>(C30 + D30) * E30</f>
        <v/>
      </c>
      <c r="G30" s="11">
        <f>C30 + D30 + F30</f>
        <v/>
      </c>
      <c r="H30" s="22" t="inlineStr">
        <is>
          <t>Compounding phase; all dividends automatically reinvested (DRIP)</t>
        </is>
      </c>
    </row>
    <row r="31">
      <c r="A31" s="15" t="inlineStr">
        <is>
          <t>Year 4</t>
        </is>
      </c>
      <c r="B31" s="32" t="n">
        <v>2030</v>
      </c>
      <c r="C31" s="19">
        <f>G30</f>
        <v/>
      </c>
      <c r="D31" s="19">
        <f>0</f>
        <v/>
      </c>
      <c r="E31" s="21">
        <f>$J$22</f>
        <v/>
      </c>
      <c r="F31" s="33">
        <f>(C31 + D31) * E31</f>
        <v/>
      </c>
      <c r="G31" s="11">
        <f>C31 + D31 + F31</f>
        <v/>
      </c>
      <c r="H31" s="22" t="inlineStr">
        <is>
          <t>Portfolio crosses $600k mark</t>
        </is>
      </c>
    </row>
    <row r="32">
      <c r="A32" s="15" t="inlineStr">
        <is>
          <t>Year 5</t>
        </is>
      </c>
      <c r="B32" s="32" t="n">
        <v>2031</v>
      </c>
      <c r="C32" s="19">
        <f>G31</f>
        <v/>
      </c>
      <c r="D32" s="19">
        <f>0</f>
        <v/>
      </c>
      <c r="E32" s="21">
        <f>$J$22</f>
        <v/>
      </c>
      <c r="F32" s="33">
        <f>(C32 + D32) * E32</f>
        <v/>
      </c>
      <c r="G32" s="11">
        <f>C32 + D32 + F32</f>
        <v/>
      </c>
      <c r="H32" s="22" t="inlineStr">
        <is>
          <t>Approach Co-Sponsors: Pledge $260k–$340k facility contribution</t>
        </is>
      </c>
    </row>
    <row r="33">
      <c r="A33" s="15" t="inlineStr">
        <is>
          <t>Year 6</t>
        </is>
      </c>
      <c r="B33" s="32" t="n">
        <v>2032</v>
      </c>
      <c r="C33" s="19">
        <f>G32</f>
        <v/>
      </c>
      <c r="D33" s="19">
        <f>0</f>
        <v/>
      </c>
      <c r="E33" s="21">
        <f>$J$22</f>
        <v/>
      </c>
      <c r="F33" s="33">
        <f>(C33 + D33) * E33</f>
        <v/>
      </c>
      <c r="G33" s="11">
        <f>C33 + D33 + F33</f>
        <v/>
      </c>
      <c r="H33" s="22" t="inlineStr">
        <is>
          <t>Begin de-risking cash flows into 10-year Treasury bond ladder</t>
        </is>
      </c>
    </row>
    <row r="34">
      <c r="A34" s="15" t="inlineStr">
        <is>
          <t>Year 7</t>
        </is>
      </c>
      <c r="B34" s="32" t="n">
        <v>2033</v>
      </c>
      <c r="C34" s="19">
        <f>G33</f>
        <v/>
      </c>
      <c r="D34" s="19">
        <f>0</f>
        <v/>
      </c>
      <c r="E34" s="21">
        <f>$J$22</f>
        <v/>
      </c>
      <c r="F34" s="33">
        <f>(C34 + D34) * E34</f>
        <v/>
      </c>
      <c r="G34" s="34">
        <f>C34 + D34 + F34</f>
        <v/>
      </c>
      <c r="H34" s="22" t="inlineStr">
        <is>
          <t>Residency Launch: Lock Operating Reserve &amp; Disburse Facility</t>
        </is>
      </c>
    </row>
    <row r="35"/>
    <row r="36"/>
    <row r="37">
      <c r="A37" s="13" t="inlineStr">
        <is>
          <t>2033 RESIDENCY GOAL EXECUTION &amp; DISBURSAL (AUTOMATED FORMULA CHECK)</t>
        </is>
      </c>
    </row>
    <row r="38">
      <c r="A38" s="4" t="inlineStr">
        <is>
          <t>Metric / Objective</t>
        </is>
      </c>
      <c r="B38" s="4" t="inlineStr">
        <is>
          <t>Formula / Amount ($)</t>
        </is>
      </c>
      <c r="C38" s="4" t="inlineStr">
        <is>
          <t>Status / Compliance</t>
        </is>
      </c>
      <c r="D38" s="4" t="inlineStr">
        <is>
          <t>Impact on Laura Gao's Mandate</t>
        </is>
      </c>
    </row>
    <row r="39">
      <c r="A39" s="9" t="inlineStr">
        <is>
          <t>Total Portfolio Value at Launch (2033)</t>
        </is>
      </c>
      <c r="B39" s="35">
        <f>G34</f>
        <v/>
      </c>
      <c r="C39" s="6" t="inlineStr">
        <is>
          <t>Formula: 2033 Ending Balance</t>
        </is>
      </c>
      <c r="D39" s="22" t="inlineStr">
        <is>
          <t>Portfolio reaches target size</t>
        </is>
      </c>
    </row>
    <row r="40">
      <c r="A40" s="9" t="inlineStr">
        <is>
          <t>Mandatory Operating Reserve Set-Aside</t>
        </is>
      </c>
      <c r="B40" s="35">
        <f>$B$9</f>
        <v/>
      </c>
      <c r="C40" s="6" t="inlineStr">
        <is>
          <t>Formula: Target Operating Reserve</t>
        </is>
      </c>
      <c r="D40" s="22" t="inlineStr">
        <is>
          <t>Fully segregated into bond ladder</t>
        </is>
      </c>
    </row>
    <row r="41">
      <c r="A41" s="9" t="inlineStr">
        <is>
          <t>10-Year Operating Commitment Check</t>
        </is>
      </c>
      <c r="B41" s="36">
        <f>IF(B40&gt;=$B$9, '100% FUNDED &amp; GUARANTEED', 'DEFICIT')</f>
        <v/>
      </c>
      <c r="C41" s="6" t="inlineStr">
        <is>
          <t>High Certainty Test</t>
        </is>
      </c>
      <c r="D41" s="22" t="inlineStr">
        <is>
          <t>10 payments of $50,000 (2033-2042) guaranteed</t>
        </is>
      </c>
    </row>
    <row r="42">
      <c r="A42" s="9" t="inlineStr">
        <is>
          <t>Remaining Capital for Facility Contribution</t>
        </is>
      </c>
      <c r="B42" s="35">
        <f>B39-B40</f>
        <v/>
      </c>
      <c r="C42" s="6" t="inlineStr">
        <is>
          <t>Formula: Total Portfolio - Operating Reserve</t>
        </is>
      </c>
      <c r="D42" s="22" t="inlineStr">
        <is>
          <t>Direct personal equity into Taiwan facility</t>
        </is>
      </c>
    </row>
    <row r="43">
      <c r="A43" s="9" t="inlineStr">
        <is>
          <t>Facility Contribution Target Status</t>
        </is>
      </c>
      <c r="B43" s="36">
        <f>IF(B42&gt;=225000, 'EXCEEDS TARGET ($225k-$325k)', 'BELOW TARGET')</f>
        <v/>
      </c>
      <c r="C43" s="6" t="inlineStr">
        <is>
          <t>Co-Sponsor Target Alignment</t>
        </is>
      </c>
      <c r="D43" s="22" t="inlineStr">
        <is>
          <t>Signals financial viability to sponsors in 2031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20" customWidth="1" min="4" max="4"/>
    <col width="15" customWidth="1" min="5" max="5"/>
    <col width="16" customWidth="1" min="6" max="6"/>
    <col width="16" customWidth="1" min="7" max="7"/>
    <col width="38" customWidth="1" min="8" max="8"/>
    <col width="42" customWidth="1" min="9" max="9"/>
    <col width="18" customWidth="1" min="10" max="10"/>
    <col width="18" customWidth="1" min="11" max="11"/>
  </cols>
  <sheetData>
    <row r="1">
      <c r="A1" s="1" t="inlineStr">
        <is>
          <t>SHORTLISTED APPROVED STOCKS DATABASE (PRICE &gt; $5.50 USD ONLY)</t>
        </is>
      </c>
    </row>
    <row r="2">
      <c r="A2" s="2" t="inlineStr">
        <is>
          <t>Dynamic formula-based returns by market cap: Large Cap = 12%, Mid Cap = 15%, Small Cap = 18%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37" t="n">
        <v>1</v>
      </c>
      <c r="B5" s="15" t="inlineStr">
        <is>
          <t>KO</t>
        </is>
      </c>
      <c r="C5" s="6" t="inlineStr">
        <is>
          <t>The Coca-Cola Co</t>
        </is>
      </c>
      <c r="D5" s="6" t="inlineStr">
        <is>
          <t>Consumer Staples</t>
        </is>
      </c>
      <c r="E5" s="38" t="n">
        <v>85.7</v>
      </c>
      <c r="F5" s="16" t="inlineStr">
        <is>
          <t>Large Cap</t>
        </is>
      </c>
      <c r="G5" s="18">
        <f>VLOOKUP(F5, Portfolio_Model!$E$6:$F$9, 2, FALSE)</f>
        <v/>
      </c>
      <c r="H5" s="39" t="inlineStr">
        <is>
          <t>Resting at 1Y VWAP ($86.50); tight 50/200 EMA coil; above 23.6% Fib.</t>
        </is>
      </c>
      <c r="I5" s="39" t="inlineStr">
        <is>
          <t>Unrivaled global distribution; pricing power; 62-year Dividend King. 10Y CAGR: 10.7%.</t>
        </is>
      </c>
      <c r="J5" s="40" t="inlineStr">
        <is>
          <t>$82.80 – $85.50</t>
        </is>
      </c>
      <c r="K5" s="41" t="inlineStr">
        <is>
          <t>Core Anchor (25%)</t>
        </is>
      </c>
    </row>
    <row r="6">
      <c r="A6" s="37" t="n">
        <v>2</v>
      </c>
      <c r="B6" s="15" t="inlineStr">
        <is>
          <t>CL</t>
        </is>
      </c>
      <c r="C6" s="6" t="inlineStr">
        <is>
          <t>Colgate-Palmolive</t>
        </is>
      </c>
      <c r="D6" s="6" t="inlineStr">
        <is>
          <t>Consumer Staples</t>
        </is>
      </c>
      <c r="E6" s="38" t="n">
        <v>84.26000000000001</v>
      </c>
      <c r="F6" s="16" t="inlineStr">
        <is>
          <t>Large Cap</t>
        </is>
      </c>
      <c r="G6" s="18">
        <f>VLOOKUP(F6, Portfolio_Model!$E$6:$F$9, 2, FALSE)</f>
        <v/>
      </c>
      <c r="H6" s="39" t="inlineStr">
        <is>
          <t>At 61.8% Golden Pocket ($85.32); 5.3% discount to 1Y VWAP ($89).</t>
        </is>
      </c>
      <c r="I6" s="39" t="inlineStr">
        <is>
          <t>&gt;40% global oral care share + Hill's Pet Nutrition; 61-yr Dividend King. Beta ~0.50.</t>
        </is>
      </c>
      <c r="J6" s="40" t="inlineStr">
        <is>
          <t>$83.50 – $85.50</t>
        </is>
      </c>
      <c r="K6" s="41" t="inlineStr">
        <is>
          <t>Core Anchor (25%)</t>
        </is>
      </c>
    </row>
    <row r="7">
      <c r="A7" s="37" t="n">
        <v>3</v>
      </c>
      <c r="B7" s="15" t="inlineStr">
        <is>
          <t>V</t>
        </is>
      </c>
      <c r="C7" s="6" t="inlineStr">
        <is>
          <t>Visa Inc</t>
        </is>
      </c>
      <c r="D7" s="6" t="inlineStr">
        <is>
          <t>Financials / Payments</t>
        </is>
      </c>
      <c r="E7" s="38" t="n">
        <v>272</v>
      </c>
      <c r="F7" s="16" t="inlineStr">
        <is>
          <t>Large Cap</t>
        </is>
      </c>
      <c r="G7" s="18">
        <f>VLOOKUP(F7, Portfolio_Model!$E$6:$F$9, 2, FALSE)</f>
        <v/>
      </c>
      <c r="H7" s="39" t="inlineStr">
        <is>
          <t>Holding 50 EMA ($275) &amp; 200 EMA ($268); tight consolidation near ATH.</t>
        </is>
      </c>
      <c r="I7" s="39" t="inlineStr">
        <is>
          <t>Worldwide payments duopoly (&gt;50% operating margins); natural inflation beneficiary.</t>
        </is>
      </c>
      <c r="J7" s="40" t="inlineStr">
        <is>
          <t>$268 – $276</t>
        </is>
      </c>
      <c r="K7" s="41" t="inlineStr">
        <is>
          <t>Core Anchor (15%)</t>
        </is>
      </c>
    </row>
    <row r="8">
      <c r="A8" s="37" t="n">
        <v>4</v>
      </c>
      <c r="B8" s="15" t="inlineStr">
        <is>
          <t>UNH</t>
        </is>
      </c>
      <c r="C8" s="6" t="inlineStr">
        <is>
          <t>UnitedHealth Group</t>
        </is>
      </c>
      <c r="D8" s="6" t="inlineStr">
        <is>
          <t>Healthcare</t>
        </is>
      </c>
      <c r="E8" s="38" t="n">
        <v>565</v>
      </c>
      <c r="F8" s="16" t="inlineStr">
        <is>
          <t>Large Cap</t>
        </is>
      </c>
      <c r="G8" s="18">
        <f>VLOOKUP(F8, Portfolio_Model!$E$6:$F$9, 2, FALSE)</f>
        <v/>
      </c>
      <c r="H8" s="39" t="inlineStr">
        <is>
          <t>Rebounding off 200 EMA ($560); resting at 1Y VWAP ($540); secular bull.</t>
        </is>
      </c>
      <c r="I8" s="39" t="inlineStr">
        <is>
          <t>Dominant healthcare insurer + Optum health-services juggernaut; 15-yr dividend hikes.</t>
        </is>
      </c>
      <c r="J8" s="40" t="inlineStr">
        <is>
          <t>$550 – $575</t>
        </is>
      </c>
      <c r="K8" s="41" t="inlineStr">
        <is>
          <t>Core Anchor (10%)</t>
        </is>
      </c>
    </row>
    <row r="9">
      <c r="A9" s="37" t="n">
        <v>5</v>
      </c>
      <c r="B9" s="15" t="inlineStr">
        <is>
          <t>HD</t>
        </is>
      </c>
      <c r="C9" s="6" t="inlineStr">
        <is>
          <t>Home Depot Inc</t>
        </is>
      </c>
      <c r="D9" s="6" t="inlineStr">
        <is>
          <t>Consumer Discretionary</t>
        </is>
      </c>
      <c r="E9" s="38" t="n">
        <v>375</v>
      </c>
      <c r="F9" s="16" t="inlineStr">
        <is>
          <t>Large Cap</t>
        </is>
      </c>
      <c r="G9" s="18">
        <f>VLOOKUP(F9, Portfolio_Model!$E$6:$F$9, 2, FALSE)</f>
        <v/>
      </c>
      <c r="H9" s="39" t="inlineStr">
        <is>
          <t>Above 50/200 EMA; bouncing off 1Y VWAP ($375); steady upward trend.</t>
        </is>
      </c>
      <c r="I9" s="39" t="inlineStr">
        <is>
          <t>Dominant home improvement duopoly; high ROIC (&gt;35%); strong dividend growth.</t>
        </is>
      </c>
      <c r="J9" s="40" t="inlineStr">
        <is>
          <t>$365 – $380</t>
        </is>
      </c>
      <c r="K9" s="41" t="inlineStr">
        <is>
          <t>Core Anchor (10%)</t>
        </is>
      </c>
    </row>
    <row r="10">
      <c r="A10" s="37" t="n">
        <v>6</v>
      </c>
      <c r="B10" s="15" t="inlineStr">
        <is>
          <t>RKT</t>
        </is>
      </c>
      <c r="C10" s="6" t="inlineStr">
        <is>
          <t>Reckitt Benckiser</t>
        </is>
      </c>
      <c r="D10" s="6" t="inlineStr">
        <is>
          <t>Consumer Staples</t>
        </is>
      </c>
      <c r="E10" s="38" t="n">
        <v>64.5</v>
      </c>
      <c r="F10" s="16" t="inlineStr">
        <is>
          <t>Large Cap</t>
        </is>
      </c>
      <c r="G10" s="18">
        <f>VLOOKUP(F10, Portfolio_Model!$E$6:$F$9, 2, FALSE)</f>
        <v/>
      </c>
      <c r="H10" s="39" t="inlineStr">
        <is>
          <t>Reclaiming 200 EMA &amp; 1Y VWAP (~4,850 GBX); double bottom off 78.6% Fib.</t>
        </is>
      </c>
      <c r="I10" s="39" t="inlineStr">
        <is>
          <t>Essential health/hygiene (Dettol, Lysol); 4.2% yield; turnaround catalyst.</t>
        </is>
      </c>
      <c r="J10" s="40" t="inlineStr">
        <is>
          <t>4,700 – 4,880 GBX</t>
        </is>
      </c>
      <c r="K10" s="41" t="inlineStr">
        <is>
          <t>Core Anchor (10%)</t>
        </is>
      </c>
    </row>
    <row r="11">
      <c r="A11" s="37" t="n">
        <v>7</v>
      </c>
      <c r="B11" s="15" t="inlineStr">
        <is>
          <t>ASML</t>
        </is>
      </c>
      <c r="C11" s="6" t="inlineStr">
        <is>
          <t>ASML Holding NV</t>
        </is>
      </c>
      <c r="D11" s="6" t="inlineStr">
        <is>
          <t>Technology / Chips</t>
        </is>
      </c>
      <c r="E11" s="38" t="n">
        <v>795</v>
      </c>
      <c r="F11" s="16" t="inlineStr">
        <is>
          <t>Large Cap</t>
        </is>
      </c>
      <c r="G11" s="18">
        <f>VLOOKUP(F11, Portfolio_Model!$E$6:$F$9, 2, FALSE)</f>
        <v/>
      </c>
      <c r="H11" s="39" t="inlineStr">
        <is>
          <t>Pullback to 61.8% Fib ($780–$820); below 50 EMA, testing 200 EMA.</t>
        </is>
      </c>
      <c r="I11" s="39" t="inlineStr">
        <is>
          <t>Absolute global monopoly in EUV lithography; mission-critical to all AI &amp; semis.</t>
        </is>
      </c>
      <c r="J11" s="40" t="inlineStr">
        <is>
          <t>$750 – $810</t>
        </is>
      </c>
      <c r="K11" s="42" t="inlineStr">
        <is>
          <t>Satellite Growth</t>
        </is>
      </c>
    </row>
    <row r="12">
      <c r="A12" s="37" t="n">
        <v>8</v>
      </c>
      <c r="B12" s="15" t="inlineStr">
        <is>
          <t>AVGO</t>
        </is>
      </c>
      <c r="C12" s="6" t="inlineStr">
        <is>
          <t>Broadcom Inc</t>
        </is>
      </c>
      <c r="D12" s="6" t="inlineStr">
        <is>
          <t>Technology / Chips</t>
        </is>
      </c>
      <c r="E12" s="38" t="n">
        <v>152</v>
      </c>
      <c r="F12" s="16" t="inlineStr">
        <is>
          <t>Large Cap</t>
        </is>
      </c>
      <c r="G12" s="18">
        <f>VLOOKUP(F12, Portfolio_Model!$E$6:$F$9, 2, FALSE)</f>
        <v/>
      </c>
      <c r="H12" s="39" t="inlineStr">
        <is>
          <t>Bullish trend; consolidating above 50/200 EMA and 1Y VWAP ($145).</t>
        </is>
      </c>
      <c r="I12" s="39" t="inlineStr">
        <is>
          <t>Premier custom AI silicon (XPU), VMware cash cow, 15-yr dividend growth.</t>
        </is>
      </c>
      <c r="J12" s="40" t="inlineStr">
        <is>
          <t>$145 – $155</t>
        </is>
      </c>
      <c r="K12" s="42" t="inlineStr">
        <is>
          <t>Satellite Growth</t>
        </is>
      </c>
    </row>
    <row r="13">
      <c r="A13" s="37" t="n">
        <v>9</v>
      </c>
      <c r="B13" s="15" t="inlineStr">
        <is>
          <t>SAP</t>
        </is>
      </c>
      <c r="C13" s="6" t="inlineStr">
        <is>
          <t>SAP SE</t>
        </is>
      </c>
      <c r="D13" s="6" t="inlineStr">
        <is>
          <t>Technology / Software</t>
        </is>
      </c>
      <c r="E13" s="38" t="n">
        <v>210</v>
      </c>
      <c r="F13" s="16" t="inlineStr">
        <is>
          <t>Large Cap</t>
        </is>
      </c>
      <c r="G13" s="18">
        <f>VLOOKUP(F13, Portfolio_Model!$E$6:$F$9, 2, FALSE)</f>
        <v/>
      </c>
      <c r="H13" s="39" t="inlineStr">
        <is>
          <t>Strong momentum; consolidating above 50/200 EMA; cloud backlog expanding.</t>
        </is>
      </c>
      <c r="I13" s="39" t="inlineStr">
        <is>
          <t>Mission-critical enterprise ERP software; extremely high client switching costs.</t>
        </is>
      </c>
      <c r="J13" s="40" t="inlineStr">
        <is>
          <t>€185 – €195</t>
        </is>
      </c>
      <c r="K13" s="42" t="inlineStr">
        <is>
          <t>Satellite Growth</t>
        </is>
      </c>
    </row>
    <row r="14">
      <c r="A14" s="37" t="n">
        <v>10</v>
      </c>
      <c r="B14" s="15" t="inlineStr">
        <is>
          <t>TCS</t>
        </is>
      </c>
      <c r="C14" s="6" t="inlineStr">
        <is>
          <t>Tata Consultancy Services</t>
        </is>
      </c>
      <c r="D14" s="6" t="inlineStr">
        <is>
          <t>Technology / IT</t>
        </is>
      </c>
      <c r="E14" s="38" t="n">
        <v>49.5</v>
      </c>
      <c r="F14" s="16" t="inlineStr">
        <is>
          <t>Large Cap</t>
        </is>
      </c>
      <c r="G14" s="18">
        <f>VLOOKUP(F14, Portfolio_Model!$E$6:$F$9, 2, FALSE)</f>
        <v/>
      </c>
      <c r="H14" s="39" t="inlineStr">
        <is>
          <t>Near 200 EMA (~₹4,150); above 1Y VWAP; rock-solid cash generative base.</t>
        </is>
      </c>
      <c r="I14" s="39" t="inlineStr">
        <is>
          <t>Global IT consulting titan; &gt;25% operating margins; zero debt; 70%+ payout ratio.</t>
        </is>
      </c>
      <c r="J14" s="40" t="inlineStr">
        <is>
          <t>₹4,050 – ₹4,200</t>
        </is>
      </c>
      <c r="K14" s="42" t="inlineStr">
        <is>
          <t>Satellite Quality</t>
        </is>
      </c>
    </row>
    <row r="15">
      <c r="A15" s="37" t="n">
        <v>11</v>
      </c>
      <c r="B15" s="15" t="inlineStr">
        <is>
          <t>RY</t>
        </is>
      </c>
      <c r="C15" s="6" t="inlineStr">
        <is>
          <t>Royal Bank of Canada</t>
        </is>
      </c>
      <c r="D15" s="6" t="inlineStr">
        <is>
          <t>Financials</t>
        </is>
      </c>
      <c r="E15" s="38" t="n">
        <v>114</v>
      </c>
      <c r="F15" s="16" t="inlineStr">
        <is>
          <t>Large Cap</t>
        </is>
      </c>
      <c r="G15" s="18">
        <f>VLOOKUP(F15, Portfolio_Model!$E$6:$F$9, 2, FALSE)</f>
        <v/>
      </c>
      <c r="H15" s="39" t="inlineStr">
        <is>
          <t>In secular uptrend above 50/200 EMA; premier tier 1 capital ratio.</t>
        </is>
      </c>
      <c r="I15" s="39" t="inlineStr">
        <is>
          <t>Canada's #1 financial institution; dominant wealth &amp; retail moat; 3.8% yield.</t>
        </is>
      </c>
      <c r="J15" s="40" t="inlineStr">
        <is>
          <t>C$150 – C$156</t>
        </is>
      </c>
      <c r="K15" s="42" t="inlineStr">
        <is>
          <t>Satellite Quality</t>
        </is>
      </c>
    </row>
    <row r="16">
      <c r="A16" s="37" t="n">
        <v>12</v>
      </c>
      <c r="B16" s="15" t="inlineStr">
        <is>
          <t>ASIANPAINT</t>
        </is>
      </c>
      <c r="C16" s="6" t="inlineStr">
        <is>
          <t>Asian Paints Ltd</t>
        </is>
      </c>
      <c r="D16" s="6" t="inlineStr">
        <is>
          <t>Materials / Coatings</t>
        </is>
      </c>
      <c r="E16" s="38" t="n">
        <v>36.4</v>
      </c>
      <c r="F16" s="16" t="inlineStr">
        <is>
          <t>Large Cap</t>
        </is>
      </c>
      <c r="G16" s="18">
        <f>VLOOKUP(F16, Portfolio_Model!$E$6:$F$9, 2, FALSE)</f>
        <v/>
      </c>
      <c r="H16" s="39" t="inlineStr">
        <is>
          <t>Consolidating near 200 EMA; testing 61.8% Fib support (~₹2,950–₹3,100).</t>
        </is>
      </c>
      <c r="I16" s="39" t="inlineStr">
        <is>
          <t>Dominant Indian decorative coatings monopoly; pricing power; high ROE.</t>
        </is>
      </c>
      <c r="J16" s="40" t="inlineStr">
        <is>
          <t>₹2,950 – ₹3,150</t>
        </is>
      </c>
      <c r="K16" s="42" t="inlineStr">
        <is>
          <t>Satellite Quality</t>
        </is>
      </c>
    </row>
    <row r="17">
      <c r="A17" s="37" t="n">
        <v>13</v>
      </c>
      <c r="B17" s="15" t="inlineStr">
        <is>
          <t>UBER</t>
        </is>
      </c>
      <c r="C17" s="6" t="inlineStr">
        <is>
          <t>Uber Technologies Inc</t>
        </is>
      </c>
      <c r="D17" s="6" t="inlineStr">
        <is>
          <t>Industrials / Tech</t>
        </is>
      </c>
      <c r="E17" s="38" t="n">
        <v>72.5</v>
      </c>
      <c r="F17" s="16" t="inlineStr">
        <is>
          <t>Large Cap</t>
        </is>
      </c>
      <c r="G17" s="18">
        <f>VLOOKUP(F17, Portfolio_Model!$E$6:$F$9, 2, FALSE)</f>
        <v/>
      </c>
      <c r="H17" s="39" t="inlineStr">
        <is>
          <t>Strong upward momentum; consolidating above 50/200 EMA and 1Y VWAP.</t>
        </is>
      </c>
      <c r="I17" s="39" t="inlineStr">
        <is>
          <t>Global mobility and food delivery network effects; rapid free cash flow inflection.</t>
        </is>
      </c>
      <c r="J17" s="40" t="inlineStr">
        <is>
          <t>$70.00 – $74.00</t>
        </is>
      </c>
      <c r="K17" s="42" t="inlineStr">
        <is>
          <t>Satellite Growth</t>
        </is>
      </c>
    </row>
    <row r="18">
      <c r="A18" s="37" t="n">
        <v>14</v>
      </c>
      <c r="B18" s="15" t="inlineStr">
        <is>
          <t>SCHW</t>
        </is>
      </c>
      <c r="C18" s="6" t="inlineStr">
        <is>
          <t>Charles Schwab Corp</t>
        </is>
      </c>
      <c r="D18" s="6" t="inlineStr">
        <is>
          <t>Financials</t>
        </is>
      </c>
      <c r="E18" s="38" t="n">
        <v>64.5</v>
      </c>
      <c r="F18" s="16" t="inlineStr">
        <is>
          <t>Large Cap</t>
        </is>
      </c>
      <c r="G18" s="18">
        <f>VLOOKUP(F18, Portfolio_Model!$E$6:$F$9, 2, FALSE)</f>
        <v/>
      </c>
      <c r="H18" s="39" t="inlineStr">
        <is>
          <t>Trading near 200 EMA ($66); cash sorting headwinds abating; below VWAP.</t>
        </is>
      </c>
      <c r="I18" s="39" t="inlineStr">
        <is>
          <t>Premier wealth management &amp; brokerage platform with $8T+ client assets.</t>
        </is>
      </c>
      <c r="J18" s="40" t="inlineStr">
        <is>
          <t>$62.00 – $65.50</t>
        </is>
      </c>
      <c r="K18" s="42" t="inlineStr">
        <is>
          <t>Satellite Value</t>
        </is>
      </c>
    </row>
    <row r="19">
      <c r="A19" s="37" t="n">
        <v>15</v>
      </c>
      <c r="B19" s="15" t="inlineStr">
        <is>
          <t>PSA</t>
        </is>
      </c>
      <c r="C19" s="6" t="inlineStr">
        <is>
          <t>Public Storage</t>
        </is>
      </c>
      <c r="D19" s="6" t="inlineStr">
        <is>
          <t>Real Estate / REIT</t>
        </is>
      </c>
      <c r="E19" s="38" t="n">
        <v>298</v>
      </c>
      <c r="F19" s="16" t="inlineStr">
        <is>
          <t>Large Cap</t>
        </is>
      </c>
      <c r="G19" s="18">
        <f>VLOOKUP(F19, Portfolio_Model!$E$6:$F$9, 2, FALSE)</f>
        <v/>
      </c>
      <c r="H19" s="39" t="inlineStr">
        <is>
          <t>Consolidating near 200 EMA ($300); below 1Y VWAP ($315); 4.0% yield.</t>
        </is>
      </c>
      <c r="I19" s="39" t="inlineStr">
        <is>
          <t>Recession-resilient self-storage leader; 70%+ operating margins; strong balance sheet.</t>
        </is>
      </c>
      <c r="J19" s="40" t="inlineStr">
        <is>
          <t>$290 – $305</t>
        </is>
      </c>
      <c r="K19" s="42" t="inlineStr">
        <is>
          <t>Satellite Income</t>
        </is>
      </c>
    </row>
    <row r="20">
      <c r="A20" s="37" t="n">
        <v>16</v>
      </c>
      <c r="B20" s="15" t="inlineStr">
        <is>
          <t>RO</t>
        </is>
      </c>
      <c r="C20" s="6" t="inlineStr">
        <is>
          <t>Roche Holding AG</t>
        </is>
      </c>
      <c r="D20" s="6" t="inlineStr">
        <is>
          <t>Healthcare / Pharma</t>
        </is>
      </c>
      <c r="E20" s="38" t="n">
        <v>302</v>
      </c>
      <c r="F20" s="16" t="inlineStr">
        <is>
          <t>Large Cap</t>
        </is>
      </c>
      <c r="G20" s="18">
        <f>VLOOKUP(F20, Portfolio_Model!$E$6:$F$9, 2, FALSE)</f>
        <v/>
      </c>
      <c r="H20" s="39" t="inlineStr">
        <is>
          <t>Rebounding off 5-year lows; crossing above 200 EMA; 61.8% Fib base.</t>
        </is>
      </c>
      <c r="I20" s="39" t="inlineStr">
        <is>
          <t>Global oncology &amp; diagnostics powerhouse; AAA balance sheet; 3.6% yield.</t>
        </is>
      </c>
      <c r="J20" s="40" t="inlineStr">
        <is>
          <t>250 – 265 CHF</t>
        </is>
      </c>
      <c r="K20" s="42" t="inlineStr">
        <is>
          <t>Satellite Defensive</t>
        </is>
      </c>
    </row>
    <row r="21">
      <c r="A21" s="37" t="n">
        <v>17</v>
      </c>
      <c r="B21" s="15" t="inlineStr">
        <is>
          <t>BYD</t>
        </is>
      </c>
      <c r="C21" s="6" t="inlineStr">
        <is>
          <t>BYD Co Ltd</t>
        </is>
      </c>
      <c r="D21" s="6" t="inlineStr">
        <is>
          <t>Consumer Discretionary</t>
        </is>
      </c>
      <c r="E21" s="38" t="n">
        <v>30.2</v>
      </c>
      <c r="F21" s="16" t="inlineStr">
        <is>
          <t>Large Cap</t>
        </is>
      </c>
      <c r="G21" s="18">
        <f>VLOOKUP(F21, Portfolio_Model!$E$6:$F$9, 2, FALSE)</f>
        <v/>
      </c>
      <c r="H21" s="39" t="inlineStr">
        <is>
          <t>Rebounding off 61.8% Fib; reclaiming 50/200 EMA; strong volume.</t>
        </is>
      </c>
      <c r="I21" s="39" t="inlineStr">
        <is>
          <t>World leader in NEVs &amp; vertical battery integration; dominant cost advantage.</t>
        </is>
      </c>
      <c r="J21" s="40" t="inlineStr">
        <is>
          <t>225 – 245 HKD</t>
        </is>
      </c>
      <c r="K21" s="42" t="inlineStr">
        <is>
          <t>Satellite Growth</t>
        </is>
      </c>
    </row>
    <row r="22">
      <c r="A22" s="37" t="n">
        <v>18</v>
      </c>
      <c r="B22" s="15" t="inlineStr">
        <is>
          <t>OKE</t>
        </is>
      </c>
      <c r="C22" s="6" t="inlineStr">
        <is>
          <t>ONEOK Inc</t>
        </is>
      </c>
      <c r="D22" s="6" t="inlineStr">
        <is>
          <t>Energy / Midstream</t>
        </is>
      </c>
      <c r="E22" s="38" t="n">
        <v>84.5</v>
      </c>
      <c r="F22" s="16" t="inlineStr">
        <is>
          <t>Large Cap</t>
        </is>
      </c>
      <c r="G22" s="18">
        <f>VLOOKUP(F22, Portfolio_Model!$E$6:$F$9, 2, FALSE)</f>
        <v/>
      </c>
      <c r="H22" s="39" t="inlineStr">
        <is>
          <t>Above 50/200 EMA; steady uptrend; 5% dividend yield; utility-like fee income.</t>
        </is>
      </c>
      <c r="I22" s="39" t="inlineStr">
        <is>
          <t>Premier natural gas liquids (NGL) infrastructure; defensive tollbooth cash flows.</t>
        </is>
      </c>
      <c r="J22" s="40" t="inlineStr">
        <is>
          <t>$82.00 – $86.00</t>
        </is>
      </c>
      <c r="K22" s="42" t="inlineStr">
        <is>
          <t>Satellite Income</t>
        </is>
      </c>
    </row>
    <row r="23">
      <c r="A23" s="37" t="n">
        <v>19</v>
      </c>
      <c r="B23" s="15" t="inlineStr">
        <is>
          <t>CCJ</t>
        </is>
      </c>
      <c r="C23" s="6" t="inlineStr">
        <is>
          <t>Cameco Corp</t>
        </is>
      </c>
      <c r="D23" s="6" t="inlineStr">
        <is>
          <t>Energy / Uranium</t>
        </is>
      </c>
      <c r="E23" s="38" t="n">
        <v>44.5</v>
      </c>
      <c r="F23" s="16" t="inlineStr">
        <is>
          <t>Mid Cap</t>
        </is>
      </c>
      <c r="G23" s="18">
        <f>VLOOKUP(F23, Portfolio_Model!$E$6:$F$9, 2, FALSE)</f>
        <v/>
      </c>
      <c r="H23" s="39" t="inlineStr">
        <is>
          <t>Strong bull trend; consolidating between 38.2%–50% Fib pullback.</t>
        </is>
      </c>
      <c r="I23" s="39" t="inlineStr">
        <is>
          <t>Largest Western uranium producer; clean nuclear renaissance tailwinds.</t>
        </is>
      </c>
      <c r="J23" s="40" t="inlineStr">
        <is>
          <t>$42.00 – $46.00</t>
        </is>
      </c>
      <c r="K23" s="42" t="inlineStr">
        <is>
          <t>Satellite Thematic</t>
        </is>
      </c>
    </row>
    <row r="24">
      <c r="A24" s="37" t="n">
        <v>20</v>
      </c>
      <c r="B24" s="15" t="inlineStr">
        <is>
          <t>M&amp;M</t>
        </is>
      </c>
      <c r="C24" s="6" t="inlineStr">
        <is>
          <t>Mahindra &amp; Mahindra</t>
        </is>
      </c>
      <c r="D24" s="6" t="inlineStr">
        <is>
          <t>Consumer Discretionary</t>
        </is>
      </c>
      <c r="E24" s="38" t="n">
        <v>33.5</v>
      </c>
      <c r="F24" s="16" t="inlineStr">
        <is>
          <t>Large Cap</t>
        </is>
      </c>
      <c r="G24" s="18">
        <f>VLOOKUP(F24, Portfolio_Model!$E$6:$F$9, 2, FALSE)</f>
        <v/>
      </c>
      <c r="H24" s="39" t="inlineStr">
        <is>
          <t>Strong uptrend above 50/200 EMA; India rural/tractor &amp; SUV powerhouse.</t>
        </is>
      </c>
      <c r="I24" s="39" t="inlineStr">
        <is>
          <t>Thriving in Indian automotive and farm machinery; high capital efficiency.</t>
        </is>
      </c>
      <c r="J24" s="40" t="inlineStr">
        <is>
          <t>₹2,700 – ₹2,850</t>
        </is>
      </c>
      <c r="K24" s="42" t="inlineStr">
        <is>
          <t>Satellite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2026-10-05T05:11:15Z</dcterms:created>
  <dcterms:modified xmlns:dcterms="http://purl.org/dc/terms/" xmlns:xsi="http://www.w3.org/2001/XMLSchema-instance" xsi:type="dcterms:W3CDTF">2026-10-05T05:11:15Z</dcterms:modified>
</cp:coreProperties>
</file>